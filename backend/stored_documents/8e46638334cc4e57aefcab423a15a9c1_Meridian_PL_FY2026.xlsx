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<sst xmlns="http://schemas.openxmlformats.org/spreadsheetml/2006/main" count="43" uniqueCount="43">
  <si>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MERIDIAN PRINT STUDIO SDN BHD</t>
  </si>
  <si>
    <t xml:space="preserve">Profit &amp; Loss Statement — Financial Year 2026</t>
  </si>
  <si>
    <t xml:space="preserve">For the Year Ended 31 December 2026  |  Currency: RM (Malaysian Ringgit)</t>
  </si>
  <si>
    <t xml:space="preserve">Description</t>
  </si>
  <si>
    <t xml:space="preserve">FY2026 (RM)</t>
  </si>
  <si>
    <t xml:space="preserve">Prior Year (RM)</t>
  </si>
  <si>
    <t xml:space="preserve">YoY Change %</t>
  </si>
  <si>
    <t xml:space="preserve">REVENUE</t>
  </si>
  <si>
    <t xml:space="preserve">   Design &amp; Brand Services</t>
  </si>
  <si>
    <t xml:space="preserve">   Print Job Revenue</t>
  </si>
  <si>
    <t xml:space="preserve">   Supplier / Paper Stock Sales</t>
  </si>
  <si>
    <t xml:space="preserve">   Other / Ad-Hoc Income</t>
  </si>
  <si>
    <t xml:space="preserve">Total Revenue</t>
  </si>
  <si>
    <t xml:space="preserve">COST OF SALES</t>
  </si>
  <si>
    <t xml:space="preserve">   Paper &amp; Printing Consumables</t>
  </si>
  <si>
    <t xml:space="preserve">   Direct Labour (Production)</t>
  </si>
  <si>
    <t xml:space="preserve">   Outsourced Printing Costs</t>
  </si>
  <si>
    <t xml:space="preserve">Total Cost of Sales</t>
  </si>
  <si>
    <t xml:space="preserve">GROSS PROFIT</t>
  </si>
  <si>
    <t xml:space="preserve">   Gross Margin %</t>
  </si>
  <si>
    <t xml:space="preserve">OPERATING EXPENSES</t>
  </si>
  <si>
    <t xml:space="preserve">   Salaries &amp; Staff Costs</t>
  </si>
  <si>
    <t xml:space="preserve">   Office Rental</t>
  </si>
  <si>
    <t xml:space="preserve">   Utilities (Electricity, Water)</t>
  </si>
  <si>
    <t xml:space="preserve">   Marketing &amp; Advertising</t>
  </si>
  <si>
    <t xml:space="preserve">   Professional &amp; Legal Fees</t>
  </si>
  <si>
    <t xml:space="preserve">   Office &amp; Admin Supplies</t>
  </si>
  <si>
    <t xml:space="preserve">   Transport &amp; Logistics</t>
  </si>
  <si>
    <t xml:space="preserve">   Depreciation — Equipment &amp; Assets</t>
  </si>
  <si>
    <t xml:space="preserve">   Loan Interest &amp; Bank Charges</t>
  </si>
  <si>
    <t xml:space="preserve">   Repairs &amp; Maintenance</t>
  </si>
  <si>
    <t xml:space="preserve">   Entertainment (Allowable Portion)</t>
  </si>
  <si>
    <t xml:space="preserve">   Insurance Premiums (Business Portion)</t>
  </si>
  <si>
    <t xml:space="preserve">   Miscellaneous / Other Expenses</t>
  </si>
  <si>
    <t xml:space="preserve">Total Operating Expenses</t>
  </si>
  <si>
    <t xml:space="preserve">OPERATING PROFIT (EBIT)</t>
  </si>
  <si>
    <t xml:space="preserve">   EBIT Margin %</t>
  </si>
  <si>
    <t xml:space="preserve">TAXATION</t>
  </si>
  <si>
    <t xml:space="preserve">   Estimated Corporate Tax (17% SME rate)</t>
  </si>
  <si>
    <t xml:space="preserve">NET PROFIT AFTER TAX</t>
  </si>
  <si>
    <t xml:space="preserve">   Net Profit Margin %</t>
  </si>
  <si>
    <t xml:space="preserve">Note: Blue figures are input cells derived from source documents. All calculations use Excel formulas. FY2025 prior-year comparative is based on auditor reconstruction from available documents.</t>
  </si>
  <si>
    <t xml:space="preserve">Prepared by: External Auditor Review  |  Basis: Accrual  |  Entity: Meridian Print Studio Sdn Bhd (Shah Alam, Selangor)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</si>
</sst>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_);\(#,##0.00\);\-"/>
    <numFmt numFmtId="166" formatCode="0.0%;\(0.0%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CCCC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5276"/>
        <bgColor rgb="FF2C3E50"/>
      </patternFill>
    </fill>
    <fill>
      <patternFill patternType="solid">
        <fgColor rgb="FF2C3E50"/>
        <bgColor rgb="FF1A5276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CCFFFF"/>
      </patternFill>
    </fill>
    <fill>
      <patternFill patternType="solid">
        <fgColor rgb="FFAED6F1"/>
        <bgColor rgb="FFCCCCFF"/>
      </patternFill>
    </fill>
    <fill>
      <patternFill patternType="solid">
        <fgColor rgb="FFF9E79F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9E79F"/>
      <rgbColor rgb="FFAED6F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A5276"/>
      <rgbColor rgb="FF1E8449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8"/>
    <col collapsed="false" customWidth="true" hidden="false" outlineLevel="0" max="4" min="4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/>
      <c r="C3" s="3"/>
      <c r="D3" s="3"/>
    </row>
    <row r="4" customFormat="false" ht="18" hidden="false" customHeight="true" outlineLevel="0" collapsed="false">
      <c r="A4" s="4" t="s">
        <v>3</v>
      </c>
      <c r="B4" s="5" t="s">
        <v>4</v>
      </c>
      <c r="C4" s="5" t="s">
        <v>5</v>
      </c>
      <c r="D4" s="5" t="s">
        <v>6</v>
      </c>
    </row>
    <row r="5" customFormat="false" ht="15" hidden="false" customHeight="false" outlineLevel="0" collapsed="false">
      <c r="A5" s="6" t="s">
        <v>7</v>
      </c>
      <c r="B5" s="7"/>
      <c r="C5" s="7"/>
      <c r="D5" s="7"/>
    </row>
    <row r="6" customFormat="false" ht="15" hidden="false" customHeight="false" outlineLevel="0" collapsed="false">
      <c r="A6" s="8" t="s">
        <v>8</v>
      </c>
      <c r="B6" s="9" t="n">
        <v>192000</v>
      </c>
      <c r="C6" s="9" t="n">
        <v>176000</v>
      </c>
      <c r="D6" s="10" t="n">
        <f aca="false">IF(C6=0,0,(B6-C6)/C6)</f>
        <v>0.0909090909090909</v>
      </c>
    </row>
    <row r="7" customFormat="false" ht="15" hidden="false" customHeight="false" outlineLevel="0" collapsed="false">
      <c r="A7" s="8" t="s">
        <v>9</v>
      </c>
      <c r="B7" s="9" t="n">
        <v>168000</v>
      </c>
      <c r="C7" s="9" t="n">
        <v>148000</v>
      </c>
      <c r="D7" s="10" t="n">
        <f aca="false">IF(C7=0,0,(B7-C7)/C7)</f>
        <v>0.135135135135135</v>
      </c>
    </row>
    <row r="8" customFormat="false" ht="15" hidden="false" customHeight="false" outlineLevel="0" collapsed="false">
      <c r="A8" s="8" t="s">
        <v>10</v>
      </c>
      <c r="B8" s="9" t="n">
        <v>24000</v>
      </c>
      <c r="C8" s="9" t="n">
        <v>19200</v>
      </c>
      <c r="D8" s="10" t="n">
        <f aca="false">IF(C8=0,0,(B8-C8)/C8)</f>
        <v>0.25</v>
      </c>
    </row>
    <row r="9" customFormat="false" ht="15" hidden="false" customHeight="false" outlineLevel="0" collapsed="false">
      <c r="A9" s="8" t="s">
        <v>11</v>
      </c>
      <c r="B9" s="9" t="n">
        <v>8400</v>
      </c>
      <c r="C9" s="9" t="n">
        <v>6150</v>
      </c>
      <c r="D9" s="10" t="n">
        <f aca="false">IF(C9=0,0,(B9-C9)/C9)</f>
        <v>0.365853658536585</v>
      </c>
    </row>
    <row r="10" customFormat="false" ht="15" hidden="false" customHeight="false" outlineLevel="0" collapsed="false">
      <c r="A10" s="11" t="s">
        <v>12</v>
      </c>
      <c r="B10" s="12" t="n">
        <f aca="false">SUM(B6:B9)</f>
        <v>392400</v>
      </c>
      <c r="C10" s="12" t="n">
        <f aca="false">SUM(C6:C9)</f>
        <v>349350</v>
      </c>
      <c r="D10" s="13" t="n">
        <f aca="false">IF(C10=0,0,(B10-C10)/C10)</f>
        <v>0.12322885358523</v>
      </c>
    </row>
    <row r="11" customFormat="false" ht="15" hidden="false" customHeight="false" outlineLevel="0" collapsed="false">
      <c r="A11" s="6" t="s">
        <v>13</v>
      </c>
      <c r="B11" s="7"/>
      <c r="C11" s="7"/>
      <c r="D11" s="7"/>
    </row>
    <row r="12" customFormat="false" ht="15" hidden="false" customHeight="false" outlineLevel="0" collapsed="false">
      <c r="A12" s="8" t="s">
        <v>14</v>
      </c>
      <c r="B12" s="9" t="n">
        <v>58000</v>
      </c>
      <c r="C12" s="9" t="n">
        <v>52000</v>
      </c>
      <c r="D12" s="10" t="n">
        <f aca="false">IF(C12=0,0,(B12-C12)/C12)</f>
        <v>0.115384615384615</v>
      </c>
    </row>
    <row r="13" customFormat="false" ht="15" hidden="false" customHeight="false" outlineLevel="0" collapsed="false">
      <c r="A13" s="8" t="s">
        <v>15</v>
      </c>
      <c r="B13" s="9" t="n">
        <v>42000</v>
      </c>
      <c r="C13" s="9" t="n">
        <v>38000</v>
      </c>
      <c r="D13" s="10" t="n">
        <f aca="false">IF(C13=0,0,(B13-C13)/C13)</f>
        <v>0.105263157894737</v>
      </c>
    </row>
    <row r="14" customFormat="false" ht="15" hidden="false" customHeight="false" outlineLevel="0" collapsed="false">
      <c r="A14" s="8" t="s">
        <v>16</v>
      </c>
      <c r="B14" s="9" t="n">
        <v>18000</v>
      </c>
      <c r="C14" s="9" t="n">
        <v>14000</v>
      </c>
      <c r="D14" s="10" t="n">
        <f aca="false">IF(C14=0,0,(B14-C14)/C14)</f>
        <v>0.285714285714286</v>
      </c>
    </row>
    <row r="15" customFormat="false" ht="15" hidden="false" customHeight="false" outlineLevel="0" collapsed="false">
      <c r="A15" s="11" t="s">
        <v>17</v>
      </c>
      <c r="B15" s="12" t="n">
        <f aca="false">SUM(B12:B14)</f>
        <v>118000</v>
      </c>
      <c r="C15" s="12" t="n">
        <f aca="false">SUM(C12:C14)</f>
        <v>104000</v>
      </c>
      <c r="D15" s="13" t="n">
        <f aca="false">IF(C15=0,0,(B15-C15)/C15)</f>
        <v>0.134615384615385</v>
      </c>
    </row>
    <row r="16" customFormat="false" ht="15" hidden="false" customHeight="false" outlineLevel="0" collapsed="false">
      <c r="A16" s="14" t="s">
        <v>18</v>
      </c>
      <c r="B16" s="15" t="n">
        <f aca="false">B10-B15</f>
        <v>274400</v>
      </c>
      <c r="C16" s="15" t="n">
        <f aca="false">C10-C15</f>
        <v>245350</v>
      </c>
      <c r="D16" s="16" t="n">
        <f aca="false">IF(C16=0,0,(B16-C16)/C16)</f>
        <v>0.118402282453638</v>
      </c>
    </row>
    <row r="17" customFormat="false" ht="15" hidden="false" customHeight="false" outlineLevel="0" collapsed="false">
      <c r="A17" s="8" t="s">
        <v>19</v>
      </c>
      <c r="B17" s="10" t="n">
        <f aca="false">IF(B10=0,0,B16/B10)</f>
        <v>0.699286442405709</v>
      </c>
      <c r="C17" s="10" t="n">
        <f aca="false">IF(C10=0,0,C16/C10)</f>
        <v>0.702304279375984</v>
      </c>
      <c r="D17" s="17"/>
    </row>
    <row r="18" customFormat="false" ht="15" hidden="false" customHeight="false" outlineLevel="0" collapsed="false">
      <c r="A18" s="6" t="s">
        <v>20</v>
      </c>
      <c r="B18" s="7"/>
      <c r="C18" s="7"/>
      <c r="D18" s="7"/>
    </row>
    <row r="19" customFormat="false" ht="15" hidden="false" customHeight="false" outlineLevel="0" collapsed="false">
      <c r="A19" s="8" t="s">
        <v>21</v>
      </c>
      <c r="B19" s="9" t="n">
        <v>174000</v>
      </c>
      <c r="C19" s="9" t="n">
        <v>158000</v>
      </c>
      <c r="D19" s="10" t="n">
        <f aca="false">IF(C19=0,0,(B19-C19)/C19)</f>
        <v>0.10126582278481</v>
      </c>
    </row>
    <row r="20" customFormat="false" ht="15" hidden="false" customHeight="false" outlineLevel="0" collapsed="false">
      <c r="A20" s="8" t="s">
        <v>22</v>
      </c>
      <c r="B20" s="9" t="n">
        <v>54000</v>
      </c>
      <c r="C20" s="9" t="n">
        <v>54000</v>
      </c>
      <c r="D20" s="10" t="n">
        <f aca="false">IF(C20=0,0,(B20-C20)/C20)</f>
        <v>0</v>
      </c>
    </row>
    <row r="21" customFormat="false" ht="15" hidden="false" customHeight="false" outlineLevel="0" collapsed="false">
      <c r="A21" s="8" t="s">
        <v>23</v>
      </c>
      <c r="B21" s="9" t="n">
        <v>14880</v>
      </c>
      <c r="C21" s="9" t="n">
        <v>11760</v>
      </c>
      <c r="D21" s="10" t="n">
        <f aca="false">IF(C21=0,0,(B21-C21)/C21)</f>
        <v>0.26530612244898</v>
      </c>
    </row>
    <row r="22" customFormat="false" ht="15" hidden="false" customHeight="false" outlineLevel="0" collapsed="false">
      <c r="A22" s="8" t="s">
        <v>24</v>
      </c>
      <c r="B22" s="9" t="n">
        <v>38400</v>
      </c>
      <c r="C22" s="9" t="n">
        <v>30000</v>
      </c>
      <c r="D22" s="10" t="n">
        <f aca="false">IF(C22=0,0,(B22-C22)/C22)</f>
        <v>0.28</v>
      </c>
    </row>
    <row r="23" customFormat="false" ht="15" hidden="false" customHeight="false" outlineLevel="0" collapsed="false">
      <c r="A23" s="8" t="s">
        <v>25</v>
      </c>
      <c r="B23" s="9" t="n">
        <v>10000</v>
      </c>
      <c r="C23" s="9" t="n">
        <v>7000</v>
      </c>
      <c r="D23" s="10" t="n">
        <f aca="false">IF(C23=0,0,(B23-C23)/C23)</f>
        <v>0.428571428571429</v>
      </c>
    </row>
    <row r="24" customFormat="false" ht="15" hidden="false" customHeight="false" outlineLevel="0" collapsed="false">
      <c r="A24" s="8" t="s">
        <v>26</v>
      </c>
      <c r="B24" s="9" t="n">
        <v>5160</v>
      </c>
      <c r="C24" s="9" t="n">
        <v>3600</v>
      </c>
      <c r="D24" s="10" t="n">
        <f aca="false">IF(C24=0,0,(B24-C24)/C24)</f>
        <v>0.433333333333333</v>
      </c>
    </row>
    <row r="25" customFormat="false" ht="15" hidden="false" customHeight="false" outlineLevel="0" collapsed="false">
      <c r="A25" s="8" t="s">
        <v>27</v>
      </c>
      <c r="B25" s="9" t="n">
        <v>4080</v>
      </c>
      <c r="C25" s="9" t="n">
        <v>3200</v>
      </c>
      <c r="D25" s="10" t="n">
        <f aca="false">IF(C25=0,0,(B25-C25)/C25)</f>
        <v>0.275</v>
      </c>
    </row>
    <row r="26" customFormat="false" ht="15" hidden="false" customHeight="false" outlineLevel="0" collapsed="false">
      <c r="A26" s="8" t="s">
        <v>28</v>
      </c>
      <c r="B26" s="9" t="n">
        <v>8200</v>
      </c>
      <c r="C26" s="9" t="n">
        <v>6500</v>
      </c>
      <c r="D26" s="10" t="n">
        <f aca="false">IF(C26=0,0,(B26-C26)/C26)</f>
        <v>0.261538461538462</v>
      </c>
    </row>
    <row r="27" customFormat="false" ht="15" hidden="false" customHeight="false" outlineLevel="0" collapsed="false">
      <c r="A27" s="8" t="s">
        <v>29</v>
      </c>
      <c r="B27" s="9" t="n">
        <v>7920</v>
      </c>
      <c r="C27" s="9" t="n">
        <v>8400</v>
      </c>
      <c r="D27" s="10" t="n">
        <f aca="false">IF(C27=0,0,(B27-C27)/C27)</f>
        <v>-0.0571428571428571</v>
      </c>
    </row>
    <row r="28" customFormat="false" ht="15" hidden="false" customHeight="false" outlineLevel="0" collapsed="false">
      <c r="A28" s="8" t="s">
        <v>30</v>
      </c>
      <c r="B28" s="9" t="n">
        <v>2800</v>
      </c>
      <c r="C28" s="9" t="n">
        <v>1800</v>
      </c>
      <c r="D28" s="10" t="n">
        <f aca="false">IF(C28=0,0,(B28-C28)/C28)</f>
        <v>0.555555555555556</v>
      </c>
    </row>
    <row r="29" customFormat="false" ht="15" hidden="false" customHeight="false" outlineLevel="0" collapsed="false">
      <c r="A29" s="8" t="s">
        <v>31</v>
      </c>
      <c r="B29" s="9" t="n">
        <v>490</v>
      </c>
      <c r="C29" s="9" t="n">
        <v>850</v>
      </c>
      <c r="D29" s="10" t="n">
        <f aca="false">IF(C29=0,0,(B29-C29)/C29)</f>
        <v>-0.423529411764706</v>
      </c>
    </row>
    <row r="30" customFormat="false" ht="15" hidden="false" customHeight="false" outlineLevel="0" collapsed="false">
      <c r="A30" s="8" t="s">
        <v>32</v>
      </c>
      <c r="B30" s="9" t="n">
        <v>1080</v>
      </c>
      <c r="C30" s="9" t="n">
        <v>1080</v>
      </c>
      <c r="D30" s="10" t="n">
        <f aca="false">IF(C30=0,0,(B30-C30)/C30)</f>
        <v>0</v>
      </c>
    </row>
    <row r="31" customFormat="false" ht="15" hidden="false" customHeight="false" outlineLevel="0" collapsed="false">
      <c r="A31" s="8" t="s">
        <v>33</v>
      </c>
      <c r="B31" s="9" t="n">
        <v>3200</v>
      </c>
      <c r="C31" s="9" t="n">
        <v>2800</v>
      </c>
      <c r="D31" s="10" t="n">
        <f aca="false">IF(C31=0,0,(B31-C31)/C31)</f>
        <v>0.142857142857143</v>
      </c>
    </row>
    <row r="32" customFormat="false" ht="15" hidden="false" customHeight="false" outlineLevel="0" collapsed="false">
      <c r="A32" s="11" t="s">
        <v>34</v>
      </c>
      <c r="B32" s="12" t="n">
        <f aca="false">SUM(B19:B31)</f>
        <v>324210</v>
      </c>
      <c r="C32" s="12" t="n">
        <f aca="false">SUM(C19:C31)</f>
        <v>288990</v>
      </c>
      <c r="D32" s="13" t="n">
        <f aca="false">IF(C32=0,0,(B32-C32)/C32)</f>
        <v>0.121872729160179</v>
      </c>
    </row>
    <row r="33" customFormat="false" ht="15" hidden="false" customHeight="false" outlineLevel="0" collapsed="false">
      <c r="A33" s="18" t="s">
        <v>35</v>
      </c>
      <c r="B33" s="19" t="n">
        <f aca="false">B16-B32</f>
        <v>-49810</v>
      </c>
      <c r="C33" s="19" t="n">
        <f aca="false">C16-C32</f>
        <v>-43640</v>
      </c>
      <c r="D33" s="20" t="n">
        <f aca="false">IF(C33=0,0,(B33-C33)/C33)</f>
        <v>0.141384051329056</v>
      </c>
    </row>
    <row r="34" customFormat="false" ht="15" hidden="false" customHeight="false" outlineLevel="0" collapsed="false">
      <c r="A34" s="8" t="s">
        <v>36</v>
      </c>
      <c r="B34" s="10" t="n">
        <f aca="false">IF(B10=0,0,B33/B10)</f>
        <v>-0.126936799184506</v>
      </c>
      <c r="C34" s="10" t="n">
        <f aca="false">IF(C10=0,0,C33/C10)</f>
        <v>-0.124917704308001</v>
      </c>
      <c r="D34" s="17"/>
    </row>
    <row r="35" customFormat="false" ht="15" hidden="false" customHeight="false" outlineLevel="0" collapsed="false">
      <c r="A35" s="6" t="s">
        <v>37</v>
      </c>
      <c r="B35" s="7"/>
      <c r="C35" s="7"/>
      <c r="D35" s="7"/>
    </row>
    <row r="36" customFormat="false" ht="15" hidden="false" customHeight="false" outlineLevel="0" collapsed="false">
      <c r="A36" s="8" t="s">
        <v>38</v>
      </c>
      <c r="B36" s="9" t="n">
        <v>10478</v>
      </c>
      <c r="C36" s="9" t="n">
        <v>8415</v>
      </c>
      <c r="D36" s="10" t="n">
        <f aca="false">IF(C36=0,0,(B36-C36)/C36)</f>
        <v>0.245157456922163</v>
      </c>
    </row>
    <row r="37" customFormat="false" ht="19.5" hidden="false" customHeight="true" outlineLevel="0" collapsed="false">
      <c r="A37" s="21" t="s">
        <v>39</v>
      </c>
      <c r="B37" s="22" t="n">
        <f aca="false">B33-B36</f>
        <v>-60288</v>
      </c>
      <c r="C37" s="22" t="n">
        <f aca="false">C33-C36</f>
        <v>-52055</v>
      </c>
      <c r="D37" s="23" t="n">
        <f aca="false">IF(C37=0,0,(B37-C37)/C37)</f>
        <v>0.158159638843531</v>
      </c>
    </row>
    <row r="38" customFormat="false" ht="15" hidden="false" customHeight="false" outlineLevel="0" collapsed="false">
      <c r="A38" s="8" t="s">
        <v>40</v>
      </c>
      <c r="B38" s="10" t="n">
        <f aca="false">IF(B10=0,0,B37/B10)</f>
        <v>-0.153639143730887</v>
      </c>
      <c r="C38" s="10" t="n">
        <f aca="false">IF(C10=0,0,C37/C10)</f>
        <v>-0.149005295548876</v>
      </c>
      <c r="D38" s="17"/>
    </row>
    <row r="40" customFormat="false" ht="30" hidden="false" customHeight="true" outlineLevel="0" collapsed="false">
      <c r="A40" s="24" t="s">
        <v>41</v>
      </c>
      <c r="B40" s="24"/>
      <c r="C40" s="24"/>
      <c r="D40" s="24"/>
    </row>
    <row r="41" customFormat="false" ht="15" hidden="false" customHeight="false" outlineLevel="0" collapsed="false">
      <c r="A41" s="25" t="s">
        <v>42</v>
      </c>
      <c r="B41" s="25"/>
      <c r="C41" s="25"/>
      <c r="D41" s="25"/>
    </row>
  </sheetData>
  <mergeCells count="5">
    <mergeCell ref="A1:D1"/>
    <mergeCell ref="A2:D2"/>
    <mergeCell ref="A3:D3"/>
    <mergeCell ref="A40:D40"/>
    <mergeCell ref="A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2026-06-25T16:33:29Z</dcterms:created>
  <dc:creator>openpyxl</dc:creator>
  <dc:description/>
  <dc:language>en-US</dc:language>
  <cp:lastModifiedBy/>
  <dcterms:modified xsi:type="dcterms:W3CDTF">2026-06-25T16:33:29Z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